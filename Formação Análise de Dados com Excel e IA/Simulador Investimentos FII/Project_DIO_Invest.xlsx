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morais\Desktop\"/>
    </mc:Choice>
  </mc:AlternateContent>
  <xr:revisionPtr revIDLastSave="0" documentId="13_ncr:1_{3F21DC09-CE74-41F8-8ED1-9CB43532F7B5}" xr6:coauthVersionLast="47" xr6:coauthVersionMax="47" xr10:uidLastSave="{00000000-0000-0000-0000-000000000000}"/>
  <bookViews>
    <workbookView xWindow="-120" yWindow="-120" windowWidth="20730" windowHeight="11040" tabRatio="397" xr2:uid="{C35455BF-E090-493B-BC99-0EF769160577}"/>
  </bookViews>
  <sheets>
    <sheet name="Invest" sheetId="1" r:id="rId1"/>
    <sheet name="Planilha de Apoio" sheetId="2" r:id="rId2"/>
  </sheets>
  <definedNames>
    <definedName name="aporte">Invest!$C$18</definedName>
    <definedName name="patrimonio">Invest!$C$21</definedName>
    <definedName name="qtd_anos">Invest!$C$19</definedName>
    <definedName name="rendimento_carteira">Invest!$C$14</definedName>
    <definedName name="salario">Invest!$C$13</definedName>
    <definedName name="sugestao_investimento">Invest!$C$15</definedName>
    <definedName name="taxa_mensal">Invest!$C$20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1" i="1" l="1"/>
  <c r="C22" i="1" s="1"/>
  <c r="C15" i="1"/>
  <c r="A13" i="2"/>
  <c r="C37" i="1" s="1"/>
  <c r="A4" i="2"/>
  <c r="A5" i="2"/>
  <c r="A6" i="2"/>
  <c r="A7" i="2"/>
  <c r="A8" i="2"/>
  <c r="A9" i="2"/>
  <c r="A10" i="2"/>
  <c r="A11" i="2"/>
  <c r="A12" i="2"/>
  <c r="A14" i="2"/>
  <c r="A15" i="2"/>
  <c r="A16" i="2"/>
  <c r="A17" i="2"/>
  <c r="A18" i="2"/>
  <c r="A19" i="2"/>
  <c r="A20" i="2"/>
  <c r="A3" i="2"/>
  <c r="C33" i="1"/>
  <c r="C26" i="1"/>
  <c r="D26" i="1" s="1"/>
  <c r="C27" i="1"/>
  <c r="D27" i="1" s="1"/>
  <c r="C28" i="1"/>
  <c r="D28" i="1" s="1"/>
  <c r="C29" i="1"/>
  <c r="D29" i="1" s="1"/>
  <c r="C25" i="1"/>
  <c r="D25" i="1" s="1"/>
  <c r="C38" i="1" l="1"/>
  <c r="D38" i="1" s="1"/>
  <c r="C36" i="1"/>
  <c r="D36" i="1" s="1"/>
  <c r="C40" i="1"/>
  <c r="D40" i="1" s="1"/>
  <c r="C39" i="1"/>
  <c r="D39" i="1" s="1"/>
  <c r="C41" i="1"/>
  <c r="D37" i="1"/>
  <c r="D41" i="1"/>
  <c r="D42" i="1" l="1"/>
</calcChain>
</file>

<file path=xl/sharedStrings.xml><?xml version="1.0" encoding="utf-8"?>
<sst xmlns="http://schemas.openxmlformats.org/spreadsheetml/2006/main" count="69" uniqueCount="35">
  <si>
    <t>Quanto investir por mês?</t>
  </si>
  <si>
    <t>Por quantos anos?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</si>
  <si>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</si>
  <si>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</si>
  <si>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</si>
  <si>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</si>
  <si>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</si>
  <si>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</si>
  <si>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</si>
  <si>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</si>
  <si>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</si>
  <si>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</si>
  <si>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</si>
  <si>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</si>
  <si>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Conservador</t>
  </si>
  <si>
    <t>VALOR A SER INVESTIDO POR MÊS</t>
  </si>
  <si>
    <t>TIPOS DE FII</t>
  </si>
  <si>
    <t>Percentual Sugerido</t>
  </si>
  <si>
    <t>Valores</t>
  </si>
  <si>
    <t>PAPEL</t>
  </si>
  <si>
    <t>TIJOLO</t>
  </si>
  <si>
    <t>HÍBRIDOS</t>
  </si>
  <si>
    <t>FOFs</t>
  </si>
  <si>
    <t>HOTELARIAS</t>
  </si>
  <si>
    <t>Moderado</t>
  </si>
  <si>
    <t>TIPO DE FII</t>
  </si>
  <si>
    <t>PERFIL</t>
  </si>
  <si>
    <t>%</t>
  </si>
  <si>
    <t>CHAVE</t>
  </si>
  <si>
    <t>Agressivo</t>
  </si>
  <si>
    <t>Sugestão de Investimento (30%)</t>
  </si>
  <si>
    <t>SELECIONA SEU PERFIL</t>
  </si>
  <si>
    <t>DESENVOLVIMENTO</t>
  </si>
  <si>
    <t>Rentabilidade Total (Cotas + Dividendos)</t>
  </si>
  <si>
    <t>Dividend Yield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</si>
</sst>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rial"/>
      <family val="2"/>
    </font>
    <font>
      <sz val="12"/>
      <color rgb="FF9C570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theme="2" tint="-0.24994659260841701"/>
      </right>
      <top/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indexed="64"/>
      </right>
      <top/>
      <bottom style="medium">
        <color theme="2" tint="-0.24994659260841701"/>
      </bottom>
      <diagonal/>
    </border>
    <border>
      <left style="medium">
        <color indexed="64"/>
      </left>
      <right style="medium">
        <color theme="2" tint="-0.24994659260841701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theme="2" tint="-0.24994659260841701"/>
      </left>
      <right style="medium">
        <color indexed="64"/>
      </right>
      <top style="medium">
        <color theme="2" tint="-0.24994659260841701"/>
      </top>
      <bottom style="medium">
        <color theme="2" tint="-0.24994659260841701"/>
      </bottom>
      <diagonal/>
    </border>
    <border>
      <left style="medium">
        <color indexed="64"/>
      </left>
      <right style="medium">
        <color theme="2" tint="-0.24994659260841701"/>
      </right>
      <top style="medium">
        <color theme="2" tint="-0.24994659260841701"/>
      </top>
      <bottom style="medium">
        <color indexed="64"/>
      </bottom>
      <diagonal/>
    </border>
    <border>
      <left style="medium">
        <color theme="2" tint="-0.24994659260841701"/>
      </left>
      <right style="medium">
        <color indexed="64"/>
      </right>
      <top style="medium">
        <color theme="2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3" borderId="0" applyNumberFormat="0" applyBorder="0" applyAlignment="0" applyProtection="0"/>
  </cellStyleXfs>
  <cellXfs count="57">
    <xf numFmtId="0" fontId="0" fillId="0" borderId="0" xfId="0"/>
    <xf numFmtId="0" fontId="6" fillId="0" borderId="0" xfId="0" applyFont="1"/>
    <xf numFmtId="0" fontId="4" fillId="4" borderId="0" xfId="0" applyFont="1" applyFill="1" applyAlignment="1">
      <alignment vertical="center"/>
    </xf>
    <xf numFmtId="0" fontId="0" fillId="4" borderId="0" xfId="0" applyFill="1"/>
    <xf numFmtId="0" fontId="2" fillId="4" borderId="0" xfId="0" applyFont="1" applyFill="1" applyAlignment="1">
      <alignment vertical="center"/>
    </xf>
    <xf numFmtId="164" fontId="3" fillId="4" borderId="0" xfId="2" applyNumberFormat="1" applyFont="1" applyFill="1" applyBorder="1" applyAlignment="1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0" borderId="19" xfId="0" applyBorder="1"/>
    <xf numFmtId="0" fontId="0" fillId="0" borderId="19" xfId="0" applyBorder="1" applyAlignment="1">
      <alignment horizontal="center" vertical="center"/>
    </xf>
    <xf numFmtId="9" fontId="0" fillId="0" borderId="19" xfId="1" applyFont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0" fontId="8" fillId="4" borderId="0" xfId="3" applyFont="1" applyFill="1"/>
    <xf numFmtId="0" fontId="10" fillId="0" borderId="0" xfId="0" applyFont="1"/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left" indent="2"/>
    </xf>
    <xf numFmtId="164" fontId="10" fillId="0" borderId="4" xfId="0" applyNumberFormat="1" applyFont="1" applyBorder="1" applyAlignment="1">
      <alignment horizontal="center"/>
    </xf>
    <xf numFmtId="0" fontId="10" fillId="4" borderId="5" xfId="0" applyFont="1" applyFill="1" applyBorder="1" applyAlignment="1">
      <alignment horizontal="left" indent="2"/>
    </xf>
    <xf numFmtId="0" fontId="10" fillId="0" borderId="6" xfId="0" applyFont="1" applyBorder="1" applyAlignment="1">
      <alignment horizontal="center"/>
    </xf>
    <xf numFmtId="10" fontId="10" fillId="0" borderId="6" xfId="1" applyNumberFormat="1" applyFont="1" applyBorder="1" applyAlignment="1">
      <alignment horizontal="center"/>
    </xf>
    <xf numFmtId="0" fontId="9" fillId="2" borderId="5" xfId="0" applyFont="1" applyFill="1" applyBorder="1" applyAlignment="1">
      <alignment horizontal="left" indent="2"/>
    </xf>
    <xf numFmtId="8" fontId="9" fillId="2" borderId="6" xfId="1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left" indent="2"/>
    </xf>
    <xf numFmtId="8" fontId="11" fillId="2" borderId="8" xfId="0" applyNumberFormat="1" applyFont="1" applyFill="1" applyBorder="1" applyAlignment="1">
      <alignment horizontal="center"/>
    </xf>
    <xf numFmtId="0" fontId="7" fillId="6" borderId="15" xfId="0" applyFont="1" applyFill="1" applyBorder="1" applyAlignment="1">
      <alignment vertical="center"/>
    </xf>
    <xf numFmtId="0" fontId="10" fillId="4" borderId="9" xfId="0" applyFont="1" applyFill="1" applyBorder="1" applyAlignment="1">
      <alignment horizontal="left" indent="2"/>
    </xf>
    <xf numFmtId="164" fontId="10" fillId="4" borderId="10" xfId="2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indent="2"/>
    </xf>
    <xf numFmtId="10" fontId="10" fillId="4" borderId="12" xfId="0" applyNumberFormat="1" applyFont="1" applyFill="1" applyBorder="1" applyAlignment="1">
      <alignment horizontal="center" vertical="center"/>
    </xf>
    <xf numFmtId="0" fontId="9" fillId="7" borderId="13" xfId="0" applyFont="1" applyFill="1" applyBorder="1" applyAlignment="1">
      <alignment horizontal="left" indent="2"/>
    </xf>
    <xf numFmtId="164" fontId="9" fillId="7" borderId="14" xfId="0" applyNumberFormat="1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left" indent="2"/>
    </xf>
    <xf numFmtId="164" fontId="9" fillId="7" borderId="4" xfId="0" applyNumberFormat="1" applyFont="1" applyFill="1" applyBorder="1" applyAlignment="1">
      <alignment horizontal="left"/>
    </xf>
    <xf numFmtId="164" fontId="11" fillId="7" borderId="16" xfId="2" applyNumberFormat="1" applyFont="1" applyFill="1" applyBorder="1" applyAlignment="1">
      <alignment horizontal="left"/>
    </xf>
    <xf numFmtId="0" fontId="10" fillId="7" borderId="5" xfId="0" applyFont="1" applyFill="1" applyBorder="1" applyAlignment="1">
      <alignment horizontal="left" indent="2"/>
    </xf>
    <xf numFmtId="164" fontId="9" fillId="7" borderId="6" xfId="0" applyNumberFormat="1" applyFont="1" applyFill="1" applyBorder="1" applyAlignment="1">
      <alignment horizontal="left"/>
    </xf>
    <xf numFmtId="164" fontId="11" fillId="7" borderId="17" xfId="2" applyNumberFormat="1" applyFont="1" applyFill="1" applyBorder="1" applyAlignment="1">
      <alignment horizontal="left"/>
    </xf>
    <xf numFmtId="164" fontId="9" fillId="7" borderId="6" xfId="1" applyNumberFormat="1" applyFont="1" applyFill="1" applyBorder="1" applyAlignment="1">
      <alignment horizontal="left"/>
    </xf>
    <xf numFmtId="0" fontId="10" fillId="7" borderId="7" xfId="0" applyFont="1" applyFill="1" applyBorder="1" applyAlignment="1">
      <alignment horizontal="left" indent="2"/>
    </xf>
    <xf numFmtId="164" fontId="9" fillId="7" borderId="8" xfId="0" applyNumberFormat="1" applyFont="1" applyFill="1" applyBorder="1" applyAlignment="1">
      <alignment horizontal="left"/>
    </xf>
    <xf numFmtId="164" fontId="11" fillId="7" borderId="18" xfId="2" applyNumberFormat="1" applyFont="1" applyFill="1" applyBorder="1" applyAlignment="1">
      <alignment horizontal="left"/>
    </xf>
    <xf numFmtId="9" fontId="10" fillId="0" borderId="0" xfId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10" fillId="0" borderId="21" xfId="0" applyFont="1" applyBorder="1" applyAlignment="1">
      <alignment horizontal="center" vertical="center"/>
    </xf>
    <xf numFmtId="164" fontId="10" fillId="0" borderId="22" xfId="0" applyNumberFormat="1" applyFont="1" applyBorder="1" applyAlignment="1">
      <alignment horizontal="center" vertical="center"/>
    </xf>
    <xf numFmtId="0" fontId="10" fillId="5" borderId="23" xfId="0" applyFont="1" applyFill="1" applyBorder="1"/>
    <xf numFmtId="0" fontId="10" fillId="5" borderId="24" xfId="0" applyFont="1" applyFill="1" applyBorder="1"/>
    <xf numFmtId="164" fontId="9" fillId="5" borderId="25" xfId="0" applyNumberFormat="1" applyFont="1" applyFill="1" applyBorder="1" applyAlignment="1">
      <alignment horizontal="center" vertical="center"/>
    </xf>
    <xf numFmtId="0" fontId="7" fillId="6" borderId="1" xfId="3" applyFont="1" applyFill="1" applyBorder="1"/>
    <xf numFmtId="0" fontId="7" fillId="6" borderId="2" xfId="3" applyFont="1" applyFill="1" applyBorder="1" applyAlignment="1">
      <alignment horizontal="center"/>
    </xf>
    <xf numFmtId="0" fontId="9" fillId="2" borderId="23" xfId="0" applyFont="1" applyFill="1" applyBorder="1"/>
    <xf numFmtId="164" fontId="9" fillId="2" borderId="25" xfId="0" applyNumberFormat="1" applyFont="1" applyFill="1" applyBorder="1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Invest!$C$35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F9-4668-A30B-0525D3F7B52C}"/>
              </c:ext>
            </c:extLst>
          </c:dPt>
          <c:dPt>
            <c:idx val="1"/>
            <c:bubble3D val="0"/>
            <c:spPr>
              <a:solidFill>
                <a:schemeClr val="accent4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4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Invest!$B$36:$B$41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9-4668-A30B-0525D3F7B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89647</xdr:colOff>
      <xdr:row>1</xdr:row>
      <xdr:rowOff>44823</xdr:rowOff>
    </xdr:from>
    <xdr:to>
      <xdr:col>4</xdr:col>
      <xdr:colOff>89647</xdr:colOff>
      <xdr:row>9</xdr:row>
      <xdr:rowOff>68035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16B663B-011B-8E06-6F63-FE545E5FB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235323"/>
          <a:ext cx="7507941" cy="1547212"/>
        </a:xfrm>
        <a:prstGeom prst="rect">
          <a:avLst/>
        </a:prstGeom>
      </xdr:spPr>
    </xdr:pic>
    <xdr:clientData/>
  </xdr:twoCellAnchor>
  <xdr:twoCellAnchor>
    <xdr:from>
      <xdr:col>1</xdr:col>
      <xdr:colOff>39220</xdr:colOff>
      <xdr:row>43</xdr:row>
      <xdr:rowOff>34737</xdr:rowOff>
    </xdr:from>
    <xdr:to>
      <xdr:col>3</xdr:col>
      <xdr:colOff>1580029</xdr:colOff>
      <xdr:row>62</xdr:row>
      <xdr:rowOff>100852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23B498-486E-CADC-C4ED-CB4FF7FB93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3956-BC2D-45D7-9881-B0FDBF09AF10}">
  <dimension ref="A11:K71"/>
  <sheetViews>
    <sheetView showGridLines="0" showRowColHeaders="0" tabSelected="1" topLeftCell="A19" zoomScale="70" zoomScaleNormal="70" workbookViewId="0">
      <selection activeCell="C32" sqref="C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x14ac:dyDescent="0.25"/>
  <cols>
    <col min="1" max="1" width="3.140625" bestFit="1" customWidth="1"/>
    <col min="2" max="2" width="48.85546875" customWidth="1"/>
    <col min="3" max="3" width="35.42578125" customWidth="1"/>
    <col min="4" max="4" width="25" customWidth="1"/>
    <col min="5" max="5" width="6.7109375" customWidth="1"/>
    <col min="6" max="6" width="6.85546875" customWidth="1"/>
    <col min="7" max="7" width="7.140625" customWidth="1"/>
    <col min="8" max="9" width="7" customWidth="1"/>
    <col min="10" max="10" width="7.28515625" customWidth="1"/>
    <col min="11" max="11" width="7.42578125" customWidth="1"/>
    <col min="12" max="16382" width="9.140625" hidden="1"/>
    <col min="16383" max="16384" width="9.140625" hidden="1" customWidth="1"/>
  </cols>
  <sheetData>
    <row r="11" spans="2:4" ht="15.75" thickBot="1" x14ac:dyDescent="0.3"/>
    <row r="12" spans="2:4" ht="27.75" customHeight="1" x14ac:dyDescent="0.25">
      <c r="B12" s="15" t="s">
        <v>12</v>
      </c>
      <c r="C12" s="16"/>
      <c r="D12" s="14"/>
    </row>
    <row r="13" spans="2:4" ht="16.5" thickBot="1" x14ac:dyDescent="0.3">
      <c r="B13" s="28" t="s">
        <v>13</v>
      </c>
      <c r="C13" s="29">
        <v>2000</v>
      </c>
      <c r="D13" s="14"/>
    </row>
    <row r="14" spans="2:4" ht="16.5" thickBot="1" x14ac:dyDescent="0.3">
      <c r="B14" s="30" t="s">
        <v>34</v>
      </c>
      <c r="C14" s="31">
        <v>6.0000000000000001E-3</v>
      </c>
      <c r="D14" s="14"/>
    </row>
    <row r="15" spans="2:4" ht="16.5" thickBot="1" x14ac:dyDescent="0.3">
      <c r="B15" s="32" t="s">
        <v>30</v>
      </c>
      <c r="C15" s="33">
        <f>C13*30%</f>
        <v>600</v>
      </c>
      <c r="D15" s="14"/>
    </row>
    <row r="16" spans="2:4" ht="16.5" thickBot="1" x14ac:dyDescent="0.3">
      <c r="B16" s="14"/>
      <c r="C16" s="14"/>
      <c r="D16" s="14"/>
    </row>
    <row r="17" spans="1:7" ht="26.25" x14ac:dyDescent="0.25">
      <c r="B17" s="15" t="s">
        <v>4</v>
      </c>
      <c r="C17" s="17"/>
      <c r="D17" s="14"/>
      <c r="G17" s="2"/>
    </row>
    <row r="18" spans="1:7" ht="15.75" x14ac:dyDescent="0.25">
      <c r="B18" s="18" t="s">
        <v>0</v>
      </c>
      <c r="C18" s="19">
        <v>200</v>
      </c>
      <c r="D18" s="14"/>
    </row>
    <row r="19" spans="1:7" ht="15.75" x14ac:dyDescent="0.25">
      <c r="B19" s="20" t="s">
        <v>1</v>
      </c>
      <c r="C19" s="21">
        <v>5</v>
      </c>
      <c r="D19" s="14"/>
    </row>
    <row r="20" spans="1:7" ht="15.75" x14ac:dyDescent="0.25">
      <c r="B20" s="20" t="s">
        <v>33</v>
      </c>
      <c r="C20" s="22">
        <v>1.0789999999999999E-2</v>
      </c>
      <c r="D20" s="14"/>
    </row>
    <row r="21" spans="1:7" ht="15.75" x14ac:dyDescent="0.25">
      <c r="B21" s="23" t="s">
        <v>2</v>
      </c>
      <c r="C21" s="24">
        <f>FV(taxa_mensal,qtd_anos*12,aporte*-1)</f>
        <v>16755.382799697527</v>
      </c>
      <c r="D21" s="14"/>
    </row>
    <row r="22" spans="1:7" ht="16.5" thickBot="1" x14ac:dyDescent="0.3">
      <c r="B22" s="25" t="s">
        <v>3</v>
      </c>
      <c r="C22" s="26">
        <f>patrimonio*rendimento_carteira</f>
        <v>100.53229679818516</v>
      </c>
      <c r="D22" s="14"/>
      <c r="E22" s="3"/>
    </row>
    <row r="23" spans="1:7" ht="16.5" thickBot="1" x14ac:dyDescent="0.3">
      <c r="B23" s="14"/>
      <c r="C23" s="14"/>
      <c r="D23" s="14"/>
      <c r="E23" s="3"/>
    </row>
    <row r="24" spans="1:7" ht="27.75" customHeight="1" x14ac:dyDescent="0.25">
      <c r="B24" s="15" t="s">
        <v>10</v>
      </c>
      <c r="C24" s="17"/>
      <c r="D24" s="27" t="s">
        <v>11</v>
      </c>
      <c r="E24" s="4"/>
    </row>
    <row r="25" spans="1:7" ht="17.25" x14ac:dyDescent="0.3">
      <c r="A25" s="1">
        <v>2</v>
      </c>
      <c r="B25" s="34" t="s">
        <v>5</v>
      </c>
      <c r="C25" s="35">
        <f>FV($C$20,$A25*12,$C$18*-1)</f>
        <v>5445.5254595290435</v>
      </c>
      <c r="D25" s="36">
        <f>C25*rendimento_carteira</f>
        <v>32.673152757174265</v>
      </c>
      <c r="E25" s="5"/>
    </row>
    <row r="26" spans="1:7" ht="17.25" x14ac:dyDescent="0.3">
      <c r="A26" s="1">
        <v>5</v>
      </c>
      <c r="B26" s="37" t="s">
        <v>6</v>
      </c>
      <c r="C26" s="38">
        <f t="shared" ref="C26:C29" si="0">FV($C$20,$A26*12,$C$18*-1)</f>
        <v>16755.382799697527</v>
      </c>
      <c r="D26" s="39">
        <f>C26*rendimento_carteira</f>
        <v>100.53229679818516</v>
      </c>
      <c r="E26" s="5"/>
    </row>
    <row r="27" spans="1:7" ht="17.25" x14ac:dyDescent="0.3">
      <c r="A27" s="1">
        <v>10</v>
      </c>
      <c r="B27" s="37" t="s">
        <v>7</v>
      </c>
      <c r="C27" s="40">
        <f t="shared" si="0"/>
        <v>48656.842506034438</v>
      </c>
      <c r="D27" s="39">
        <f>C27*rendimento_carteira</f>
        <v>291.94105503620665</v>
      </c>
      <c r="E27" s="5"/>
    </row>
    <row r="28" spans="1:7" ht="17.25" x14ac:dyDescent="0.3">
      <c r="A28" s="1">
        <v>20</v>
      </c>
      <c r="B28" s="37" t="s">
        <v>8</v>
      </c>
      <c r="C28" s="40">
        <f t="shared" si="0"/>
        <v>225039.68001941612</v>
      </c>
      <c r="D28" s="39">
        <f>C28*rendimento_carteira</f>
        <v>1350.2380801164968</v>
      </c>
      <c r="E28" s="5"/>
    </row>
    <row r="29" spans="1:7" ht="18" thickBot="1" x14ac:dyDescent="0.35">
      <c r="A29" s="1">
        <v>30</v>
      </c>
      <c r="B29" s="41" t="s">
        <v>9</v>
      </c>
      <c r="C29" s="42">
        <f t="shared" si="0"/>
        <v>864433.93100094295</v>
      </c>
      <c r="D29" s="43">
        <f>C29*rendimento_carteira</f>
        <v>5186.6035860056581</v>
      </c>
      <c r="E29" s="5"/>
    </row>
    <row r="30" spans="1:7" x14ac:dyDescent="0.25">
      <c r="E30" s="3"/>
    </row>
    <row r="31" spans="1:7" ht="15.75" thickBot="1" x14ac:dyDescent="0.3">
      <c r="E31" s="3"/>
    </row>
    <row r="32" spans="1:7" ht="15.75" x14ac:dyDescent="0.25">
      <c r="B32" s="53" t="s">
        <v>31</v>
      </c>
      <c r="C32" s="54" t="s">
        <v>29</v>
      </c>
      <c r="D32" s="13"/>
    </row>
    <row r="33" spans="2:4" ht="16.5" thickBot="1" x14ac:dyDescent="0.3">
      <c r="B33" s="55" t="s">
        <v>15</v>
      </c>
      <c r="C33" s="56">
        <f>aporte</f>
        <v>200</v>
      </c>
      <c r="D33" s="14"/>
    </row>
    <row r="34" spans="2:4" ht="16.5" thickBot="1" x14ac:dyDescent="0.3">
      <c r="B34" s="14"/>
      <c r="C34" s="14"/>
      <c r="D34" s="14"/>
    </row>
    <row r="35" spans="2:4" ht="15.75" x14ac:dyDescent="0.25">
      <c r="B35" s="45" t="s">
        <v>16</v>
      </c>
      <c r="C35" s="46" t="s">
        <v>17</v>
      </c>
      <c r="D35" s="47" t="s">
        <v>18</v>
      </c>
    </row>
    <row r="36" spans="2:4" x14ac:dyDescent="0.25">
      <c r="B36" s="48" t="s">
        <v>19</v>
      </c>
      <c r="C36" s="44">
        <f>VLOOKUP($C$32&amp;"-"&amp;B36,'Planilha de Apoio'!$A:$D,4,FALSE)</f>
        <v>0.5</v>
      </c>
      <c r="D36" s="49">
        <f>$C$33*C36</f>
        <v>100</v>
      </c>
    </row>
    <row r="37" spans="2:4" x14ac:dyDescent="0.25">
      <c r="B37" s="48" t="s">
        <v>20</v>
      </c>
      <c r="C37" s="44">
        <f>VLOOKUP($C$32&amp;"-"&amp;B37,'Planilha de Apoio'!$A:$D,4,FALSE)</f>
        <v>0.1</v>
      </c>
      <c r="D37" s="49">
        <f t="shared" ref="D37:D41" si="1">$C$33*C37</f>
        <v>20</v>
      </c>
    </row>
    <row r="38" spans="2:4" x14ac:dyDescent="0.25">
      <c r="B38" s="48" t="s">
        <v>21</v>
      </c>
      <c r="C38" s="44">
        <f>VLOOKUP($C$32&amp;"-"&amp;B38,'Planilha de Apoio'!$A:$D,4,FALSE)</f>
        <v>0.05</v>
      </c>
      <c r="D38" s="49">
        <f t="shared" si="1"/>
        <v>10</v>
      </c>
    </row>
    <row r="39" spans="2:4" x14ac:dyDescent="0.25">
      <c r="B39" s="48" t="s">
        <v>22</v>
      </c>
      <c r="C39" s="44">
        <f>VLOOKUP($C$32&amp;"-"&amp;B39,'Planilha de Apoio'!$A:$D,4,FALSE)</f>
        <v>0.05</v>
      </c>
      <c r="D39" s="49">
        <f t="shared" si="1"/>
        <v>10</v>
      </c>
    </row>
    <row r="40" spans="2:4" x14ac:dyDescent="0.25">
      <c r="B40" s="48" t="s">
        <v>32</v>
      </c>
      <c r="C40" s="44">
        <f>VLOOKUP($C$32&amp;"-"&amp;B40,'Planilha de Apoio'!$A:$D,4,FALSE)</f>
        <v>0.2</v>
      </c>
      <c r="D40" s="49">
        <f t="shared" si="1"/>
        <v>40</v>
      </c>
    </row>
    <row r="41" spans="2:4" x14ac:dyDescent="0.25">
      <c r="B41" s="48" t="s">
        <v>23</v>
      </c>
      <c r="C41" s="44">
        <f>VLOOKUP($C$32&amp;"-"&amp;B41,'Planilha de Apoio'!$A:$D,4,FALSE)</f>
        <v>0.1</v>
      </c>
      <c r="D41" s="49">
        <f t="shared" si="1"/>
        <v>20</v>
      </c>
    </row>
    <row r="42" spans="2:4" ht="16.5" thickBot="1" x14ac:dyDescent="0.3">
      <c r="B42" s="50"/>
      <c r="C42" s="51"/>
      <c r="D42" s="52">
        <f>SUM(D36:D41)</f>
        <v>200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</sheetData>
  <mergeCells count="3">
    <mergeCell ref="B17:C17"/>
    <mergeCell ref="B24:C24"/>
    <mergeCell ref="B12:C12"/>
  </mergeCells>
  <dataValidations count="1">
    <dataValidation type="list" allowBlank="1" showInputMessage="1" showErrorMessage="1" sqref="C32" xr:uid="{7873061C-48BA-42EC-8BB5-CE230AE524D1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F6B0-897E-4144-B54B-FD8FEEB4204A}">
  <dimension ref="A2:D20"/>
  <sheetViews>
    <sheetView workbookViewId="0">
      <selection activeCell="G16" sqref="G16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</cols>
  <sheetData>
    <row r="2" spans="1:4" x14ac:dyDescent="0.25">
      <c r="A2" t="s">
        <v>28</v>
      </c>
      <c r="B2" t="s">
        <v>26</v>
      </c>
      <c r="C2" t="s">
        <v>25</v>
      </c>
      <c r="D2" s="6" t="s">
        <v>27</v>
      </c>
    </row>
    <row r="3" spans="1:4" x14ac:dyDescent="0.25">
      <c r="A3" t="str">
        <f>B3&amp;"-"&amp;C3</f>
        <v>Conservador-PAPEL</v>
      </c>
      <c r="B3" t="s">
        <v>14</v>
      </c>
      <c r="C3" s="6" t="s">
        <v>19</v>
      </c>
      <c r="D3" s="7">
        <v>0.3</v>
      </c>
    </row>
    <row r="4" spans="1:4" x14ac:dyDescent="0.25">
      <c r="A4" t="str">
        <f t="shared" ref="A4:A20" si="0">B4&amp;"-"&amp;C4</f>
        <v>Conservador-TIJOLO</v>
      </c>
      <c r="B4" t="s">
        <v>14</v>
      </c>
      <c r="C4" s="6" t="s">
        <v>20</v>
      </c>
      <c r="D4" s="7">
        <v>0.5</v>
      </c>
    </row>
    <row r="5" spans="1:4" x14ac:dyDescent="0.25">
      <c r="A5" t="str">
        <f t="shared" si="0"/>
        <v>Conservador-HÍBRIDOS</v>
      </c>
      <c r="B5" t="s">
        <v>14</v>
      </c>
      <c r="C5" s="6" t="s">
        <v>21</v>
      </c>
      <c r="D5" s="7">
        <v>0.1</v>
      </c>
    </row>
    <row r="6" spans="1:4" x14ac:dyDescent="0.25">
      <c r="A6" t="str">
        <f t="shared" si="0"/>
        <v>Conservador-FOFs</v>
      </c>
      <c r="B6" t="s">
        <v>14</v>
      </c>
      <c r="C6" s="6" t="s">
        <v>22</v>
      </c>
      <c r="D6" s="7">
        <v>0.1</v>
      </c>
    </row>
    <row r="7" spans="1:4" x14ac:dyDescent="0.25">
      <c r="A7" t="str">
        <f t="shared" si="0"/>
        <v>Conservador-DESENVOLVIMENTO</v>
      </c>
      <c r="B7" t="s">
        <v>14</v>
      </c>
      <c r="C7" t="s">
        <v>32</v>
      </c>
      <c r="D7" s="7">
        <v>0</v>
      </c>
    </row>
    <row r="8" spans="1:4" ht="15.75" thickBot="1" x14ac:dyDescent="0.3">
      <c r="A8" s="9" t="str">
        <f t="shared" si="0"/>
        <v>Conservador-HOTELARIAS</v>
      </c>
      <c r="B8" s="9" t="s">
        <v>14</v>
      </c>
      <c r="C8" s="10" t="s">
        <v>23</v>
      </c>
      <c r="D8" s="11">
        <v>0</v>
      </c>
    </row>
    <row r="9" spans="1:4" ht="15.75" thickTop="1" x14ac:dyDescent="0.25">
      <c r="A9" t="str">
        <f t="shared" si="0"/>
        <v>Moderado-PAPEL</v>
      </c>
      <c r="B9" t="s">
        <v>24</v>
      </c>
      <c r="C9" s="6" t="s">
        <v>19</v>
      </c>
      <c r="D9" s="8">
        <v>0.32</v>
      </c>
    </row>
    <row r="10" spans="1:4" x14ac:dyDescent="0.25">
      <c r="A10" t="str">
        <f t="shared" si="0"/>
        <v>Moderado-TIJOLO</v>
      </c>
      <c r="B10" t="s">
        <v>24</v>
      </c>
      <c r="C10" s="6" t="s">
        <v>20</v>
      </c>
      <c r="D10" s="8">
        <v>0.4</v>
      </c>
    </row>
    <row r="11" spans="1:4" x14ac:dyDescent="0.25">
      <c r="A11" t="str">
        <f t="shared" si="0"/>
        <v>Moderado-HÍBRIDOS</v>
      </c>
      <c r="B11" t="s">
        <v>24</v>
      </c>
      <c r="C11" s="6" t="s">
        <v>21</v>
      </c>
      <c r="D11" s="8">
        <v>0.08</v>
      </c>
    </row>
    <row r="12" spans="1:4" x14ac:dyDescent="0.25">
      <c r="A12" t="str">
        <f t="shared" si="0"/>
        <v>Moderado-FOFs</v>
      </c>
      <c r="B12" t="s">
        <v>24</v>
      </c>
      <c r="C12" s="6" t="s">
        <v>22</v>
      </c>
      <c r="D12" s="8">
        <v>0.1</v>
      </c>
    </row>
    <row r="13" spans="1:4" x14ac:dyDescent="0.25">
      <c r="A13" t="str">
        <f>B13&amp;"-"&amp;C13</f>
        <v>Moderado-DESENVOLVIMENTO</v>
      </c>
      <c r="B13" t="s">
        <v>24</v>
      </c>
      <c r="C13" t="s">
        <v>32</v>
      </c>
      <c r="D13" s="8">
        <v>0.05</v>
      </c>
    </row>
    <row r="14" spans="1:4" ht="15.75" thickBot="1" x14ac:dyDescent="0.3">
      <c r="A14" s="9" t="str">
        <f t="shared" si="0"/>
        <v>Moderado-HOTELARIAS</v>
      </c>
      <c r="B14" s="9" t="s">
        <v>24</v>
      </c>
      <c r="C14" s="10" t="s">
        <v>23</v>
      </c>
      <c r="D14" s="12">
        <v>0.05</v>
      </c>
    </row>
    <row r="15" spans="1:4" ht="15.75" thickTop="1" x14ac:dyDescent="0.25">
      <c r="A15" t="str">
        <f t="shared" si="0"/>
        <v>Agressivo-PAPEL</v>
      </c>
      <c r="B15" t="s">
        <v>29</v>
      </c>
      <c r="C15" s="6" t="s">
        <v>19</v>
      </c>
      <c r="D15" s="8">
        <v>0.5</v>
      </c>
    </row>
    <row r="16" spans="1:4" x14ac:dyDescent="0.25">
      <c r="A16" t="str">
        <f t="shared" si="0"/>
        <v>Agressivo-TIJOLO</v>
      </c>
      <c r="B16" t="s">
        <v>29</v>
      </c>
      <c r="C16" s="6" t="s">
        <v>20</v>
      </c>
      <c r="D16" s="8">
        <v>0.1</v>
      </c>
    </row>
    <row r="17" spans="1:4" x14ac:dyDescent="0.25">
      <c r="A17" t="str">
        <f t="shared" si="0"/>
        <v>Agressivo-HÍBRIDOS</v>
      </c>
      <c r="B17" t="s">
        <v>29</v>
      </c>
      <c r="C17" s="6" t="s">
        <v>21</v>
      </c>
      <c r="D17" s="8">
        <v>0.05</v>
      </c>
    </row>
    <row r="18" spans="1:4" x14ac:dyDescent="0.25">
      <c r="A18" t="str">
        <f t="shared" si="0"/>
        <v>Agressivo-FOFs</v>
      </c>
      <c r="B18" t="s">
        <v>29</v>
      </c>
      <c r="C18" s="6" t="s">
        <v>22</v>
      </c>
      <c r="D18" s="8">
        <v>0.05</v>
      </c>
    </row>
    <row r="19" spans="1:4" x14ac:dyDescent="0.25">
      <c r="A19" t="str">
        <f t="shared" si="0"/>
        <v>Agressivo-DESENVOLVIMENTO</v>
      </c>
      <c r="B19" t="s">
        <v>29</v>
      </c>
      <c r="C19" t="s">
        <v>32</v>
      </c>
      <c r="D19" s="8">
        <v>0.2</v>
      </c>
    </row>
    <row r="20" spans="1:4" x14ac:dyDescent="0.25">
      <c r="A20" t="str">
        <f t="shared" si="0"/>
        <v>Agressivo-HOTELARIAS</v>
      </c>
      <c r="B20" t="s">
        <v>29</v>
      </c>
      <c r="C20" s="6" t="s">
        <v>23</v>
      </c>
      <c r="D20" s="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</vt:lpstr>
      <vt:lpstr>Planilha de 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Cardoso de Moraes</dc:creator>
  <cp:lastModifiedBy>Gabriel Cardoso de Moraes</cp:lastModifiedBy>
  <dcterms:created xsi:type="dcterms:W3CDTF">2026-08-14T14:28:51Z</dcterms:created>
  <dcterms:modified xsi:type="dcterms:W3CDTF">2026-08-27T16:43:20Z</dcterms:modified>
</cp:coreProperties>
</file>